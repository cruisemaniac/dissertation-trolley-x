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ed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<sst xmlns="http://schemas.openxmlformats.org/spreadsheetml/2006/main" count="91" uniqueCount="74">
  <si>
    <t xml:space="preserve">Trolley-X — Physical Prototype: Revised Bill of Materials</t>
  </si>
  <si>
    <t xml:space="preserve">Drivetrain &amp; chassis retained in full (load-bearing build). Intel NUC + RealSense removed; Arduino + 720p webcam reused. Vision-follow on existing webcam; UWB optional.</t>
  </si>
  <si>
    <t xml:space="preserve">S.No</t>
  </si>
  <si>
    <t xml:space="preserve">Section</t>
  </si>
  <si>
    <t xml:space="preserve">Item</t>
  </si>
  <si>
    <t xml:space="preserve">Qty</t>
  </si>
  <si>
    <t xml:space="preserve">Description</t>
  </si>
  <si>
    <t xml:space="preserve">Status</t>
  </si>
  <si>
    <t xml:space="preserve">Cost (AED)</t>
  </si>
  <si>
    <t xml:space="preserve">UAE source / note</t>
  </si>
  <si>
    <t xml:space="preserve">Fabrication &amp; basic items</t>
  </si>
  <si>
    <t xml:space="preserve">Aluminium Chassis Fabrication</t>
  </si>
  <si>
    <t xml:space="preserve">Base fabrication — load-bearing</t>
  </si>
  <si>
    <t xml:space="preserve">Buy</t>
  </si>
  <si>
    <t xml:space="preserve">Local machine/fab shop (Dubai)</t>
  </si>
  <si>
    <t xml:space="preserve">Basket (plastic)</t>
  </si>
  <si>
    <t xml:space="preserve">Off-the-shelf retail basket</t>
  </si>
  <si>
    <t xml:space="preserve">Retail</t>
  </si>
  <si>
    <t xml:space="preserve">Sensor mounts &amp; brackets</t>
  </si>
  <si>
    <t xml:space="preserve">Multiple</t>
  </si>
  <si>
    <t xml:space="preserve">3D printed</t>
  </si>
  <si>
    <t xml:space="preserve">Make</t>
  </si>
  <si>
    <t xml:space="preserve">Campus / local 3D print</t>
  </si>
  <si>
    <t xml:space="preserve">Wiring and connectors</t>
  </si>
  <si>
    <t xml:space="preserve">—</t>
  </si>
  <si>
    <t xml:space="preserve">Besomi / Edwin Robotics</t>
  </si>
  <si>
    <t xml:space="preserve">Power system</t>
  </si>
  <si>
    <t xml:space="preserve">LiFePO4 battery pack</t>
  </si>
  <si>
    <t xml:space="preserve">12 V battery</t>
  </si>
  <si>
    <t xml:space="preserve">Local battery supplier</t>
  </si>
  <si>
    <t xml:space="preserve">DC-DC voltage converter</t>
  </si>
  <si>
    <t xml:space="preserve">24-&gt;12 V and 12-&gt;5 V</t>
  </si>
  <si>
    <t xml:space="preserve">Edwin Robotics / Besomi</t>
  </si>
  <si>
    <t xml:space="preserve">Emergency stop switch</t>
  </si>
  <si>
    <t xml:space="preserve">Industrial E-Stop</t>
  </si>
  <si>
    <t xml:space="preserve">Local industrial supplier</t>
  </si>
  <si>
    <t xml:space="preserve">Power distribution &amp; fuse set</t>
  </si>
  <si>
    <t xml:space="preserve">Electrical safety kit</t>
  </si>
  <si>
    <t xml:space="preserve">Local</t>
  </si>
  <si>
    <t xml:space="preserve">Motor &amp; drive system</t>
  </si>
  <si>
    <t xml:space="preserve">High-torque DC gear motor w/ encoder</t>
  </si>
  <si>
    <t xml:space="preserve">30 W DC gear motor</t>
  </si>
  <si>
    <t xml:space="preserve">Motor drive</t>
  </si>
  <si>
    <t xml:space="preserve">SmartDrive Duo MDDS30, 2-ch DC</t>
  </si>
  <si>
    <t xml:space="preserve">Cytron / Edwin Robotics</t>
  </si>
  <si>
    <t xml:space="preserve">Caster wheel</t>
  </si>
  <si>
    <t xml:space="preserve">Local hardware</t>
  </si>
  <si>
    <t xml:space="preserve">Rubber drive wheel</t>
  </si>
  <si>
    <t xml:space="preserve">Edwin Robotics / local</t>
  </si>
  <si>
    <t xml:space="preserve">Navigation &amp; computation system</t>
  </si>
  <si>
    <t xml:space="preserve">LiDAR sensor</t>
  </si>
  <si>
    <t xml:space="preserve">Slamtec RPLIDAR A1</t>
  </si>
  <si>
    <t xml:space="preserve">Edwin Robotics</t>
  </si>
  <si>
    <t xml:space="preserve">Motor controller</t>
  </si>
  <si>
    <t xml:space="preserve">Arduino — ALREADY OWNED</t>
  </si>
  <si>
    <t xml:space="preserve">Have</t>
  </si>
  <si>
    <t xml:space="preserve">Owned (was AED 100)</t>
  </si>
  <si>
    <t xml:space="preserve">Onboard compute</t>
  </si>
  <si>
    <t xml:space="preserve">Raspberry Pi 5, 16 GB (or tether laptop)</t>
  </si>
  <si>
    <t xml:space="preserve">Edwin Robotics / Zero Ohm</t>
  </si>
  <si>
    <t xml:space="preserve">Vision camera</t>
  </si>
  <si>
    <t xml:space="preserve">720p USB webcam — ALREADY OWNED (replaces RealSense)</t>
  </si>
  <si>
    <t xml:space="preserve">Owned</t>
  </si>
  <si>
    <t xml:space="preserve">BUILD SUBTOTAL — with onboard Raspberry Pi 5</t>
  </si>
  <si>
    <t xml:space="preserve">BUILD SUBTOTAL — laptop tethered (no Pi purchase)</t>
  </si>
  <si>
    <t xml:space="preserve">Optional add-on: UWB follow kit (ESP32-UWB/DW3000 ×3–4, CW2-faithful)</t>
  </si>
  <si>
    <t xml:space="preserve">Removed vs original BOM</t>
  </si>
  <si>
    <t xml:space="preserve">Intel NUC 11 (perception PC)</t>
  </si>
  <si>
    <t xml:space="preserve">Intel RealSense D415 (depth camera)</t>
  </si>
  <si>
    <t xml:space="preserve">Arduino (now owned, no purchase)</t>
  </si>
  <si>
    <t xml:space="preserve">Total removed</t>
  </si>
  <si>
    <t xml:space="preserve">Original BOM total</t>
  </si>
  <si>
    <t xml:space="preserve">Revised build (with Pi 5)</t>
  </si>
  <si>
    <t xml:space="preserve">Saving vs original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</si>
</sst>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36"/>
    <col collapsed="false" customWidth="true" hidden="false" outlineLevel="0" max="4" min="4" style="0" width="9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n">
        <v>1</v>
      </c>
      <c r="B6" s="6"/>
      <c r="C6" s="6" t="s">
        <v>11</v>
      </c>
      <c r="D6" s="5" t="n">
        <v>1</v>
      </c>
      <c r="E6" s="7" t="s">
        <v>12</v>
      </c>
      <c r="F6" s="5" t="s">
        <v>13</v>
      </c>
      <c r="G6" s="8" t="n">
        <v>1500</v>
      </c>
      <c r="H6" s="6" t="s">
        <v>14</v>
      </c>
    </row>
    <row r="7" customFormat="false" ht="15" hidden="false" customHeight="false" outlineLevel="0" collapsed="false">
      <c r="A7" s="5" t="n">
        <v>2</v>
      </c>
      <c r="B7" s="6"/>
      <c r="C7" s="6" t="s">
        <v>15</v>
      </c>
      <c r="D7" s="5" t="n">
        <v>1</v>
      </c>
      <c r="E7" s="7" t="s">
        <v>16</v>
      </c>
      <c r="F7" s="5" t="s">
        <v>13</v>
      </c>
      <c r="G7" s="8" t="n">
        <v>200</v>
      </c>
      <c r="H7" s="6" t="s">
        <v>17</v>
      </c>
    </row>
    <row r="8" customFormat="false" ht="15" hidden="false" customHeight="false" outlineLevel="0" collapsed="false">
      <c r="A8" s="5" t="n">
        <v>3</v>
      </c>
      <c r="B8" s="6"/>
      <c r="C8" s="6" t="s">
        <v>18</v>
      </c>
      <c r="D8" s="5" t="s">
        <v>19</v>
      </c>
      <c r="E8" s="7" t="s">
        <v>20</v>
      </c>
      <c r="F8" s="5" t="s">
        <v>21</v>
      </c>
      <c r="G8" s="8" t="n">
        <v>250</v>
      </c>
      <c r="H8" s="6" t="s">
        <v>22</v>
      </c>
    </row>
    <row r="9" customFormat="false" ht="15" hidden="false" customHeight="false" outlineLevel="0" collapsed="false">
      <c r="A9" s="5" t="n">
        <v>4</v>
      </c>
      <c r="B9" s="6"/>
      <c r="C9" s="6" t="s">
        <v>23</v>
      </c>
      <c r="D9" s="5" t="s">
        <v>19</v>
      </c>
      <c r="E9" s="7" t="s">
        <v>24</v>
      </c>
      <c r="F9" s="5" t="s">
        <v>13</v>
      </c>
      <c r="G9" s="8" t="n">
        <v>300</v>
      </c>
      <c r="H9" s="6" t="s">
        <v>25</v>
      </c>
    </row>
    <row r="10" customFormat="false" ht="15" hidden="false" customHeight="false" outlineLevel="0" collapsed="false">
      <c r="A10" s="4" t="s">
        <v>26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5" t="n">
        <v>5</v>
      </c>
      <c r="B11" s="6"/>
      <c r="C11" s="6" t="s">
        <v>27</v>
      </c>
      <c r="D11" s="5" t="n">
        <v>1</v>
      </c>
      <c r="E11" s="7" t="s">
        <v>28</v>
      </c>
      <c r="F11" s="5" t="s">
        <v>13</v>
      </c>
      <c r="G11" s="8" t="n">
        <v>480</v>
      </c>
      <c r="H11" s="6" t="s">
        <v>29</v>
      </c>
    </row>
    <row r="12" customFormat="false" ht="15" hidden="false" customHeight="false" outlineLevel="0" collapsed="false">
      <c r="A12" s="5" t="n">
        <v>6</v>
      </c>
      <c r="B12" s="6"/>
      <c r="C12" s="6" t="s">
        <v>30</v>
      </c>
      <c r="D12" s="5" t="n">
        <v>2</v>
      </c>
      <c r="E12" s="7" t="s">
        <v>31</v>
      </c>
      <c r="F12" s="5" t="s">
        <v>13</v>
      </c>
      <c r="G12" s="8" t="n">
        <v>150</v>
      </c>
      <c r="H12" s="6" t="s">
        <v>32</v>
      </c>
    </row>
    <row r="13" customFormat="false" ht="15" hidden="false" customHeight="false" outlineLevel="0" collapsed="false">
      <c r="A13" s="5" t="n">
        <v>7</v>
      </c>
      <c r="B13" s="6"/>
      <c r="C13" s="6" t="s">
        <v>33</v>
      </c>
      <c r="D13" s="5" t="n">
        <v>1</v>
      </c>
      <c r="E13" s="7" t="s">
        <v>34</v>
      </c>
      <c r="F13" s="5" t="s">
        <v>13</v>
      </c>
      <c r="G13" s="8" t="n">
        <v>60</v>
      </c>
      <c r="H13" s="6" t="s">
        <v>35</v>
      </c>
    </row>
    <row r="14" customFormat="false" ht="15" hidden="false" customHeight="false" outlineLevel="0" collapsed="false">
      <c r="A14" s="5" t="n">
        <v>8</v>
      </c>
      <c r="B14" s="6"/>
      <c r="C14" s="6" t="s">
        <v>36</v>
      </c>
      <c r="D14" s="5" t="n">
        <v>1</v>
      </c>
      <c r="E14" s="7" t="s">
        <v>37</v>
      </c>
      <c r="F14" s="5" t="s">
        <v>13</v>
      </c>
      <c r="G14" s="8" t="n">
        <v>150</v>
      </c>
      <c r="H14" s="6" t="s">
        <v>38</v>
      </c>
    </row>
    <row r="15" customFormat="false" ht="15" hidden="false" customHeight="false" outlineLevel="0" collapsed="false">
      <c r="A15" s="4" t="s">
        <v>39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5" t="n">
        <v>9</v>
      </c>
      <c r="B16" s="6"/>
      <c r="C16" s="6" t="s">
        <v>40</v>
      </c>
      <c r="D16" s="5" t="n">
        <v>2</v>
      </c>
      <c r="E16" s="7" t="s">
        <v>41</v>
      </c>
      <c r="F16" s="5" t="s">
        <v>13</v>
      </c>
      <c r="G16" s="8" t="n">
        <v>500</v>
      </c>
      <c r="H16" s="6" t="s">
        <v>32</v>
      </c>
    </row>
    <row r="17" customFormat="false" ht="15" hidden="false" customHeight="false" outlineLevel="0" collapsed="false">
      <c r="A17" s="5" t="n">
        <v>10</v>
      </c>
      <c r="B17" s="6"/>
      <c r="C17" s="6" t="s">
        <v>42</v>
      </c>
      <c r="D17" s="5" t="n">
        <v>1</v>
      </c>
      <c r="E17" s="7" t="s">
        <v>43</v>
      </c>
      <c r="F17" s="5" t="s">
        <v>13</v>
      </c>
      <c r="G17" s="8" t="n">
        <v>700</v>
      </c>
      <c r="H17" s="6" t="s">
        <v>44</v>
      </c>
    </row>
    <row r="18" customFormat="false" ht="15" hidden="false" customHeight="false" outlineLevel="0" collapsed="false">
      <c r="A18" s="5" t="n">
        <v>11</v>
      </c>
      <c r="B18" s="6"/>
      <c r="C18" s="6" t="s">
        <v>45</v>
      </c>
      <c r="D18" s="5" t="n">
        <v>2</v>
      </c>
      <c r="E18" s="7" t="s">
        <v>24</v>
      </c>
      <c r="F18" s="5" t="s">
        <v>13</v>
      </c>
      <c r="G18" s="8" t="n">
        <v>150</v>
      </c>
      <c r="H18" s="6" t="s">
        <v>46</v>
      </c>
    </row>
    <row r="19" customFormat="false" ht="15" hidden="false" customHeight="false" outlineLevel="0" collapsed="false">
      <c r="A19" s="5" t="n">
        <v>12</v>
      </c>
      <c r="B19" s="6"/>
      <c r="C19" s="6" t="s">
        <v>47</v>
      </c>
      <c r="D19" s="5" t="n">
        <v>2</v>
      </c>
      <c r="E19" s="7" t="s">
        <v>24</v>
      </c>
      <c r="F19" s="5" t="s">
        <v>13</v>
      </c>
      <c r="G19" s="8" t="n">
        <v>250</v>
      </c>
      <c r="H19" s="6" t="s">
        <v>48</v>
      </c>
    </row>
    <row r="20" customFormat="false" ht="15" hidden="false" customHeight="fals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5" t="n">
        <v>13</v>
      </c>
      <c r="B21" s="6"/>
      <c r="C21" s="6" t="s">
        <v>50</v>
      </c>
      <c r="D21" s="5" t="n">
        <v>1</v>
      </c>
      <c r="E21" s="7" t="s">
        <v>51</v>
      </c>
      <c r="F21" s="5" t="s">
        <v>13</v>
      </c>
      <c r="G21" s="8" t="n">
        <v>450</v>
      </c>
      <c r="H21" s="6" t="s">
        <v>52</v>
      </c>
    </row>
    <row r="22" customFormat="false" ht="15" hidden="false" customHeight="false" outlineLevel="0" collapsed="false">
      <c r="A22" s="9" t="n">
        <v>14</v>
      </c>
      <c r="B22" s="10"/>
      <c r="C22" s="10" t="s">
        <v>53</v>
      </c>
      <c r="D22" s="9" t="n">
        <v>1</v>
      </c>
      <c r="E22" s="11" t="s">
        <v>54</v>
      </c>
      <c r="F22" s="9" t="s">
        <v>55</v>
      </c>
      <c r="G22" s="12" t="n">
        <v>0</v>
      </c>
      <c r="H22" s="10" t="s">
        <v>56</v>
      </c>
    </row>
    <row r="23" customFormat="false" ht="15" hidden="false" customHeight="false" outlineLevel="0" collapsed="false">
      <c r="A23" s="5" t="n">
        <v>15</v>
      </c>
      <c r="B23" s="6"/>
      <c r="C23" s="6" t="s">
        <v>57</v>
      </c>
      <c r="D23" s="5" t="n">
        <v>1</v>
      </c>
      <c r="E23" s="7" t="s">
        <v>58</v>
      </c>
      <c r="F23" s="5" t="s">
        <v>13</v>
      </c>
      <c r="G23" s="8" t="n">
        <v>700</v>
      </c>
      <c r="H23" s="6" t="s">
        <v>59</v>
      </c>
    </row>
    <row r="24" customFormat="false" ht="23.85" hidden="false" customHeight="false" outlineLevel="0" collapsed="false">
      <c r="A24" s="9" t="n">
        <v>16</v>
      </c>
      <c r="B24" s="10"/>
      <c r="C24" s="10" t="s">
        <v>60</v>
      </c>
      <c r="D24" s="9" t="n">
        <v>1</v>
      </c>
      <c r="E24" s="11" t="s">
        <v>61</v>
      </c>
      <c r="F24" s="9" t="s">
        <v>55</v>
      </c>
      <c r="G24" s="12" t="n">
        <v>0</v>
      </c>
      <c r="H24" s="10" t="s">
        <v>62</v>
      </c>
    </row>
    <row r="26" customFormat="false" ht="15" hidden="false" customHeight="false" outlineLevel="0" collapsed="false">
      <c r="A26" s="13" t="s">
        <v>63</v>
      </c>
      <c r="B26" s="13"/>
      <c r="C26" s="13"/>
      <c r="D26" s="13"/>
      <c r="E26" s="13"/>
      <c r="F26" s="13"/>
      <c r="G26" s="14" t="n">
        <f aca="false">SUM(G6,G7,G8,G9,G11,G12,G13,G14,G16,G17,G18,G19,G21,G22,G23,G24)</f>
        <v>5840</v>
      </c>
      <c r="H26" s="15"/>
    </row>
    <row r="27" customFormat="false" ht="15" hidden="false" customHeight="false" outlineLevel="0" collapsed="false">
      <c r="A27" s="16" t="s">
        <v>64</v>
      </c>
      <c r="B27" s="16"/>
      <c r="C27" s="16"/>
      <c r="D27" s="16"/>
      <c r="E27" s="16"/>
      <c r="F27" s="16"/>
      <c r="G27" s="17" t="n">
        <f aca="false">G26-G23</f>
        <v>5140</v>
      </c>
      <c r="H27" s="15"/>
    </row>
    <row r="29" customFormat="false" ht="15" hidden="false" customHeight="false" outlineLevel="0" collapsed="false">
      <c r="A29" s="18" t="s">
        <v>65</v>
      </c>
      <c r="B29" s="18"/>
      <c r="C29" s="18"/>
      <c r="D29" s="18"/>
      <c r="E29" s="18"/>
      <c r="F29" s="18"/>
      <c r="G29" s="19" t="n">
        <v>400</v>
      </c>
      <c r="H29" s="15"/>
    </row>
    <row r="31" customFormat="false" ht="15" hidden="false" customHeight="false" outlineLevel="0" collapsed="false">
      <c r="A31" s="20" t="s">
        <v>66</v>
      </c>
      <c r="B31" s="20"/>
      <c r="C31" s="20"/>
      <c r="D31" s="20"/>
      <c r="E31" s="20"/>
      <c r="F31" s="20"/>
      <c r="G31" s="20"/>
      <c r="H31" s="20"/>
    </row>
    <row r="32" customFormat="false" ht="15" hidden="false" customHeight="false" outlineLevel="0" collapsed="false">
      <c r="A32" s="21" t="s">
        <v>67</v>
      </c>
      <c r="B32" s="21"/>
      <c r="C32" s="21"/>
      <c r="D32" s="21"/>
      <c r="E32" s="21"/>
      <c r="F32" s="21"/>
      <c r="G32" s="22" t="n">
        <v>1500</v>
      </c>
      <c r="H32" s="15"/>
    </row>
    <row r="33" customFormat="false" ht="15" hidden="false" customHeight="false" outlineLevel="0" collapsed="false">
      <c r="A33" s="21" t="s">
        <v>68</v>
      </c>
      <c r="B33" s="21"/>
      <c r="C33" s="21"/>
      <c r="D33" s="21"/>
      <c r="E33" s="21"/>
      <c r="F33" s="21"/>
      <c r="G33" s="22" t="n">
        <v>1700</v>
      </c>
      <c r="H33" s="15"/>
    </row>
    <row r="34" customFormat="false" ht="15" hidden="false" customHeight="false" outlineLevel="0" collapsed="false">
      <c r="A34" s="21" t="s">
        <v>69</v>
      </c>
      <c r="B34" s="21"/>
      <c r="C34" s="21"/>
      <c r="D34" s="21"/>
      <c r="E34" s="21"/>
      <c r="F34" s="21"/>
      <c r="G34" s="22" t="n">
        <v>100</v>
      </c>
      <c r="H34" s="15"/>
    </row>
    <row r="35" customFormat="false" ht="15" hidden="false" customHeight="false" outlineLevel="0" collapsed="false">
      <c r="A35" s="23" t="s">
        <v>70</v>
      </c>
      <c r="B35" s="23"/>
      <c r="C35" s="23"/>
      <c r="D35" s="23"/>
      <c r="E35" s="23"/>
      <c r="F35" s="23"/>
      <c r="G35" s="24" t="n">
        <f aca="false">SUM(G32:G34)</f>
        <v>3300</v>
      </c>
      <c r="H35" s="15"/>
    </row>
    <row r="37" customFormat="false" ht="15" hidden="false" customHeight="false" outlineLevel="0" collapsed="false">
      <c r="A37" s="25" t="s">
        <v>71</v>
      </c>
      <c r="B37" s="25"/>
      <c r="C37" s="25"/>
      <c r="D37" s="25"/>
      <c r="E37" s="25"/>
      <c r="F37" s="25"/>
      <c r="G37" s="26" t="n">
        <v>9140</v>
      </c>
      <c r="H37" s="15"/>
    </row>
    <row r="38" customFormat="false" ht="15" hidden="false" customHeight="false" outlineLevel="0" collapsed="false">
      <c r="A38" s="25" t="s">
        <v>72</v>
      </c>
      <c r="B38" s="25"/>
      <c r="C38" s="25"/>
      <c r="D38" s="25"/>
      <c r="E38" s="25"/>
      <c r="F38" s="25"/>
      <c r="G38" s="26" t="n">
        <f aca="false">G26</f>
        <v>5840</v>
      </c>
      <c r="H38" s="15"/>
    </row>
    <row r="39" customFormat="false" ht="15" hidden="false" customHeight="false" outlineLevel="0" collapsed="false">
      <c r="A39" s="27" t="s">
        <v>73</v>
      </c>
      <c r="B39" s="27"/>
      <c r="C39" s="27"/>
      <c r="D39" s="27"/>
      <c r="E39" s="27"/>
      <c r="F39" s="27"/>
      <c r="G39" s="28" t="n">
        <f aca="false">G37-G38</f>
        <v>3300</v>
      </c>
      <c r="H39" s="15"/>
    </row>
  </sheetData>
  <mergeCells count="17">
    <mergeCell ref="A1:H1"/>
    <mergeCell ref="A2:H2"/>
    <mergeCell ref="A5:H5"/>
    <mergeCell ref="A10:H10"/>
    <mergeCell ref="A15:H15"/>
    <mergeCell ref="A20:H20"/>
    <mergeCell ref="A26:F26"/>
    <mergeCell ref="A27:F27"/>
    <mergeCell ref="A29:F29"/>
    <mergeCell ref="A31:H31"/>
    <mergeCell ref="A32:F32"/>
    <mergeCell ref="A33:F33"/>
    <mergeCell ref="A34:F34"/>
    <mergeCell ref="A35:F35"/>
    <mergeCell ref="A37:F37"/>
    <mergeCell ref="A38:F38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2026-06-16T17:11:22Z</dcterms:created>
  <dc:creator>openpyxl</dc:creator>
  <dc:description/>
  <dc:language>en-US</dc:language>
  <cp:lastModifiedBy/>
  <dcterms:modified xsi:type="dcterms:W3CDTF">2026-06-16T17:11:22Z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